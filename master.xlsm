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StatSheet\StatSheet\"/>
    </mc:Choice>
  </mc:AlternateContent>
  <xr:revisionPtr revIDLastSave="0" documentId="13_ncr:1_{BCFE24E8-A627-42A9-9860-9147BBA33242}" xr6:coauthVersionLast="47" xr6:coauthVersionMax="47" xr10:uidLastSave="{00000000-0000-0000-0000-000000000000}"/>
  <bookViews>
    <workbookView xWindow="-28920" yWindow="1740" windowWidth="29040" windowHeight="15720" xr2:uid="{C372A6C3-0B91-4A53-ABAC-D1C90F318F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4" i="1" l="1"/>
  <c r="S19" i="1" a="1"/>
  <c r="S14" i="1" a="1"/>
  <c r="O1" i="1" a="1"/>
  <c r="AK15" i="1" a="1"/>
  <c r="AK1" i="1" a="1"/>
  <c r="S19" i="1" l="1"/>
  <c r="S14" i="1"/>
  <c r="O1" i="1"/>
  <c r="AK1" i="1"/>
  <c r="AK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<sst xmlns="http://schemas.openxmlformats.org/spreadsheetml/2006/main" count="51" uniqueCount="22">
  <si>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</si>
  <si>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</si>
  <si>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</si>
  <si>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</si>
  <si>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</si>
  <si>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</si>
  <si>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</si>
  <si>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</si>
  <si>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</si>
  <si>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</si>
  <si>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</si>
  <si>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</si>
  <si>
    <t>Flavour 1</t>
  </si>
  <si>
    <t>Flavour 2</t>
  </si>
  <si>
    <t>Flavour 3</t>
  </si>
  <si>
    <t>Method 1</t>
  </si>
  <si>
    <t>Method 2</t>
  </si>
  <si>
    <t>Method 3</t>
  </si>
  <si>
    <t>Method 4</t>
  </si>
  <si>
    <t>New</t>
  </si>
  <si>
    <t>Old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</si>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</sst>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AN41"/>
  <sheetViews>
    <sheetView tabSelected="1" workbookViewId="0">
      <selection activeCell="O13" sqref="O13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40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">
        <v>12</v>
      </c>
      <c r="L1" s="6" t="s">
        <v>13</v>
      </c>
      <c r="M1" s="6" t="s">
        <v>14</v>
      </c>
      <c r="O1" t="str" cm="1">
        <f t="array" ref="O1:Q7">SPLIT_VALUES(C:C,B:B,TRUE)</f>
        <v>Win</v>
      </c>
      <c r="P1" t="str">
        <v>Draw</v>
      </c>
      <c r="Q1" s="6" t="str">
        <v>Loss</v>
      </c>
      <c r="R1" s="6"/>
      <c r="S1" s="6"/>
      <c r="U1" t="s">
        <v>15</v>
      </c>
      <c r="V1" t="s">
        <v>16</v>
      </c>
      <c r="W1" t="s">
        <v>17</v>
      </c>
      <c r="X1" t="s">
        <v>18</v>
      </c>
      <c r="AG1" t="s">
        <v>19</v>
      </c>
      <c r="AH1" t="s">
        <v>20</v>
      </c>
      <c r="AI1" t="s">
        <v>21</v>
      </c>
      <c r="AK1" t="str" cm="1">
        <f t="array" ref="AK1:AN9">DESCRIBE(AG:AI,TRUE)</f>
        <v>Metric</v>
      </c>
      <c r="AL1" t="str">
        <v>New</v>
      </c>
      <c r="AM1" t="str">
        <v>Old</v>
      </c>
      <c r="AN1" t="str">
        <v>Control</v>
      </c>
    </row>
    <row r="2" spans="1:40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13</v>
      </c>
      <c r="L2" s="6">
        <v>12</v>
      </c>
      <c r="M2" s="6">
        <v>7</v>
      </c>
      <c r="O2">
        <v>61</v>
      </c>
      <c r="P2">
        <v>61</v>
      </c>
      <c r="Q2">
        <v>63</v>
      </c>
      <c r="U2">
        <v>51</v>
      </c>
      <c r="V2">
        <v>82</v>
      </c>
      <c r="W2">
        <v>79</v>
      </c>
      <c r="X2">
        <v>85</v>
      </c>
      <c r="AG2">
        <v>27</v>
      </c>
      <c r="AH2">
        <v>22.5</v>
      </c>
      <c r="AI2">
        <v>3</v>
      </c>
      <c r="AK2" t="str">
        <v>n</v>
      </c>
      <c r="AL2">
        <v>10</v>
      </c>
      <c r="AM2">
        <v>9</v>
      </c>
      <c r="AN2">
        <v>8</v>
      </c>
    </row>
    <row r="3" spans="1:40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17</v>
      </c>
      <c r="L3" s="6">
        <v>8</v>
      </c>
      <c r="M3" s="6">
        <v>19</v>
      </c>
      <c r="O3">
        <v>65</v>
      </c>
      <c r="P3">
        <v>74</v>
      </c>
      <c r="Q3">
        <v>86</v>
      </c>
      <c r="U3">
        <v>87</v>
      </c>
      <c r="V3">
        <v>91</v>
      </c>
      <c r="W3">
        <v>84</v>
      </c>
      <c r="X3">
        <v>80</v>
      </c>
      <c r="AG3">
        <v>12.5</v>
      </c>
      <c r="AH3">
        <v>11</v>
      </c>
      <c r="AI3">
        <v>24.5</v>
      </c>
      <c r="AK3" t="str">
        <v>Mean</v>
      </c>
      <c r="AL3">
        <v>19.899999999999999</v>
      </c>
      <c r="AM3">
        <v>10.722222222222221</v>
      </c>
      <c r="AN3">
        <v>10.3125</v>
      </c>
    </row>
    <row r="4" spans="1:40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19</v>
      </c>
      <c r="L4" s="6">
        <v>6</v>
      </c>
      <c r="M4" s="6">
        <v>15</v>
      </c>
      <c r="O4">
        <v>68</v>
      </c>
      <c r="P4">
        <v>8</v>
      </c>
      <c r="Q4">
        <v>70</v>
      </c>
      <c r="U4">
        <v>50</v>
      </c>
      <c r="V4">
        <v>91</v>
      </c>
      <c r="W4">
        <v>74</v>
      </c>
      <c r="X4">
        <v>65</v>
      </c>
      <c r="AG4">
        <v>19</v>
      </c>
      <c r="AH4">
        <v>8</v>
      </c>
      <c r="AI4">
        <v>14</v>
      </c>
      <c r="AK4" t="str">
        <v>Median</v>
      </c>
      <c r="AL4">
        <v>19.5</v>
      </c>
      <c r="AM4">
        <v>9.5</v>
      </c>
      <c r="AN4">
        <v>6.25</v>
      </c>
    </row>
    <row r="5" spans="1:40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11</v>
      </c>
      <c r="L5" s="6">
        <v>16</v>
      </c>
      <c r="M5" s="6">
        <v>14</v>
      </c>
      <c r="O5">
        <v>45</v>
      </c>
      <c r="P5">
        <v>12</v>
      </c>
      <c r="Q5">
        <v>55</v>
      </c>
      <c r="U5">
        <v>48</v>
      </c>
      <c r="V5">
        <v>80</v>
      </c>
      <c r="W5">
        <v>98</v>
      </c>
      <c r="X5">
        <v>71</v>
      </c>
      <c r="AG5">
        <v>26</v>
      </c>
      <c r="AH5">
        <v>5.5</v>
      </c>
      <c r="AI5">
        <v>4</v>
      </c>
      <c r="AK5" t="str">
        <v>Standard Deviation</v>
      </c>
      <c r="AL5">
        <v>4.8120219820316246</v>
      </c>
      <c r="AM5">
        <v>6.2605466569976507</v>
      </c>
      <c r="AN5">
        <v>8.944022345359258</v>
      </c>
    </row>
    <row r="6" spans="1:40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J6" s="5"/>
      <c r="K6" s="6">
        <v>20</v>
      </c>
      <c r="L6" s="6">
        <v>12</v>
      </c>
      <c r="M6" s="6">
        <v>10</v>
      </c>
      <c r="O6">
        <v>58</v>
      </c>
      <c r="P6">
        <v>4</v>
      </c>
      <c r="Q6">
        <v>72</v>
      </c>
      <c r="U6">
        <v>79</v>
      </c>
      <c r="V6">
        <v>52</v>
      </c>
      <c r="W6">
        <v>63</v>
      </c>
      <c r="X6">
        <v>67</v>
      </c>
      <c r="AG6">
        <v>15</v>
      </c>
      <c r="AH6">
        <v>9.5</v>
      </c>
      <c r="AI6">
        <v>7</v>
      </c>
      <c r="AK6" t="str">
        <v>Min</v>
      </c>
      <c r="AL6">
        <v>12.5</v>
      </c>
      <c r="AM6">
        <v>1</v>
      </c>
      <c r="AN6">
        <v>2</v>
      </c>
    </row>
    <row r="7" spans="1:40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15</v>
      </c>
      <c r="L7" s="6">
        <v>14</v>
      </c>
      <c r="M7" s="6">
        <v>16</v>
      </c>
      <c r="O7">
        <v>100</v>
      </c>
      <c r="P7" t="str">
        <v/>
      </c>
      <c r="Q7" t="str">
        <v/>
      </c>
      <c r="U7">
        <v>61</v>
      </c>
      <c r="V7">
        <v>79</v>
      </c>
      <c r="W7">
        <v>83</v>
      </c>
      <c r="X7">
        <v>51</v>
      </c>
      <c r="AG7">
        <v>20</v>
      </c>
      <c r="AH7">
        <v>9.5</v>
      </c>
      <c r="AI7">
        <v>2</v>
      </c>
      <c r="AK7" t="str">
        <v>Max</v>
      </c>
      <c r="AL7">
        <v>27</v>
      </c>
      <c r="AM7">
        <v>22.5</v>
      </c>
      <c r="AN7">
        <v>24.5</v>
      </c>
    </row>
    <row r="8" spans="1:40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  <c r="K8" s="6">
        <v>18</v>
      </c>
      <c r="L8" s="6">
        <v>10</v>
      </c>
      <c r="M8" s="6">
        <v>18</v>
      </c>
      <c r="U8">
        <v>53</v>
      </c>
      <c r="V8">
        <v>73</v>
      </c>
      <c r="W8">
        <v>85</v>
      </c>
      <c r="X8">
        <v>63</v>
      </c>
      <c r="AG8">
        <v>16</v>
      </c>
      <c r="AH8">
        <v>12.5</v>
      </c>
      <c r="AI8">
        <v>22.5</v>
      </c>
      <c r="AK8" t="str">
        <v>Q1</v>
      </c>
      <c r="AL8">
        <v>16.5</v>
      </c>
      <c r="AM8">
        <v>8</v>
      </c>
      <c r="AN8">
        <v>3.75</v>
      </c>
    </row>
    <row r="9" spans="1:40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  <c r="K9" s="6">
        <v>9</v>
      </c>
      <c r="L9" s="6">
        <v>18</v>
      </c>
      <c r="M9" s="6">
        <v>11</v>
      </c>
      <c r="U9">
        <v>54</v>
      </c>
      <c r="V9">
        <v>74</v>
      </c>
      <c r="W9">
        <v>58</v>
      </c>
      <c r="X9">
        <v>93</v>
      </c>
      <c r="AG9">
        <v>21</v>
      </c>
      <c r="AH9">
        <v>1</v>
      </c>
      <c r="AI9">
        <v>5.5</v>
      </c>
      <c r="AK9" t="str">
        <v>Q3</v>
      </c>
      <c r="AL9">
        <v>23.625</v>
      </c>
      <c r="AM9">
        <v>12.5</v>
      </c>
      <c r="AN9">
        <v>16.125</v>
      </c>
    </row>
    <row r="10" spans="1:40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  <c r="K10" s="6">
        <v>12</v>
      </c>
      <c r="L10" s="6">
        <v>4</v>
      </c>
      <c r="M10" s="6">
        <v>14</v>
      </c>
      <c r="AG10">
        <v>24.5</v>
      </c>
      <c r="AH10">
        <v>17</v>
      </c>
    </row>
    <row r="11" spans="1:40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  <c r="K11" s="6">
        <v>16</v>
      </c>
      <c r="L11" s="6">
        <v>11</v>
      </c>
      <c r="M11" s="6">
        <v>11</v>
      </c>
      <c r="AG11">
        <v>18</v>
      </c>
    </row>
    <row r="12" spans="1:40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  <c r="R12" s="6"/>
      <c r="S12" s="6"/>
    </row>
    <row r="13" spans="1:40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  <c r="R13" s="6"/>
      <c r="S13" s="6"/>
    </row>
    <row r="14" spans="1:40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  <c r="R14" s="6"/>
      <c r="S14" s="6" t="str" cm="1">
        <f t="array" ref="S14:T17">T_TEST_ONE_SAMPLE(P:P,10,"unequal",TRUE)</f>
        <v>t-Statistic</v>
      </c>
      <c r="T14">
        <v>1.4756702339263292</v>
      </c>
      <c r="U14" t="str">
        <f>""</f>
        <v/>
      </c>
    </row>
    <row r="15" spans="1:40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  <c r="S15" t="str">
        <v>Degrees of Freedom</v>
      </c>
      <c r="T15">
        <v>4</v>
      </c>
      <c r="AK15" t="str" cm="1">
        <f t="array" ref="AK15:AL17">KRUSKALL_WALLIS(AG:AI,TRUE)</f>
        <v>H statistic</v>
      </c>
      <c r="AL15">
        <v>8.7869157848324555</v>
      </c>
    </row>
    <row r="16" spans="1:40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  <c r="S16" t="str">
        <v>P-value</v>
      </c>
      <c r="T16">
        <v>0.21406728645956527</v>
      </c>
      <c r="AK16" t="str">
        <v>Degrees of freedom</v>
      </c>
      <c r="AL16">
        <v>2</v>
      </c>
    </row>
    <row r="17" spans="1:38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  <c r="S17" t="str">
        <v>Sample Mean</v>
      </c>
      <c r="T17">
        <v>31.8</v>
      </c>
      <c r="AK17" t="str">
        <v>P-value</v>
      </c>
      <c r="AL17">
        <v>1.2357922885419969E-2</v>
      </c>
    </row>
    <row r="18" spans="1:38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38" x14ac:dyDescent="0.25">
      <c r="E19" s="3">
        <v>5</v>
      </c>
      <c r="F19" s="3">
        <v>12</v>
      </c>
      <c r="H19" s="1">
        <v>61</v>
      </c>
      <c r="I19" s="1">
        <v>78</v>
      </c>
      <c r="Q19" s="6"/>
      <c r="S19" t="str" cm="1">
        <f t="array" ref="S19:T22">T_TEST_INDEPENDENT_SAMPLE(O:O,P:P,"unequal",TRUE)</f>
        <v>t-Statistic</v>
      </c>
      <c r="T19">
        <v>2.1879790768258132</v>
      </c>
    </row>
    <row r="20" spans="1:38" x14ac:dyDescent="0.25">
      <c r="E20" s="3">
        <v>9</v>
      </c>
      <c r="F20" s="3">
        <v>8</v>
      </c>
      <c r="H20" s="1">
        <v>72</v>
      </c>
      <c r="I20" s="1">
        <v>80</v>
      </c>
      <c r="S20" t="str">
        <v>Degrees of Freedom</v>
      </c>
      <c r="T20">
        <v>9</v>
      </c>
    </row>
    <row r="21" spans="1:38" x14ac:dyDescent="0.25">
      <c r="E21" s="3">
        <v>8</v>
      </c>
      <c r="F21" s="3">
        <v>16</v>
      </c>
      <c r="H21" s="1">
        <v>77</v>
      </c>
      <c r="I21" s="1">
        <v>45</v>
      </c>
      <c r="Q21" s="6"/>
      <c r="S21" t="str">
        <v>P-Value</v>
      </c>
      <c r="T21">
        <v>5.6435850792667386E-2</v>
      </c>
    </row>
    <row r="22" spans="1:38" x14ac:dyDescent="0.25">
      <c r="E22" s="3">
        <v>9</v>
      </c>
      <c r="F22" s="3">
        <v>12</v>
      </c>
      <c r="H22" s="1">
        <v>90</v>
      </c>
      <c r="I22" s="1">
        <v>77</v>
      </c>
      <c r="S22" t="str">
        <v>Mean Difference</v>
      </c>
      <c r="T22">
        <v>34.366666666666674</v>
      </c>
    </row>
    <row r="23" spans="1:38" x14ac:dyDescent="0.25">
      <c r="E23" s="3">
        <v>11</v>
      </c>
      <c r="F23" s="3">
        <v>7</v>
      </c>
      <c r="H23" s="1">
        <v>88</v>
      </c>
      <c r="I23" s="1">
        <v>87</v>
      </c>
    </row>
    <row r="24" spans="1:38" x14ac:dyDescent="0.25">
      <c r="E24" s="3">
        <v>11</v>
      </c>
      <c r="F24" s="3">
        <v>17</v>
      </c>
      <c r="H24" s="1">
        <v>74</v>
      </c>
      <c r="I24" s="1">
        <v>77</v>
      </c>
    </row>
    <row r="25" spans="1:38" x14ac:dyDescent="0.25">
      <c r="E25" s="3">
        <v>12</v>
      </c>
      <c r="F25" s="3">
        <v>13</v>
      </c>
      <c r="H25" s="1">
        <v>88</v>
      </c>
      <c r="I25" s="1">
        <v>65</v>
      </c>
    </row>
    <row r="26" spans="1:38" x14ac:dyDescent="0.25">
      <c r="E26" s="3">
        <v>17</v>
      </c>
      <c r="F26" s="3">
        <v>20</v>
      </c>
      <c r="H26" s="1">
        <v>90</v>
      </c>
      <c r="I26" s="1">
        <v>90</v>
      </c>
    </row>
    <row r="27" spans="1:38" x14ac:dyDescent="0.25">
      <c r="E27" s="3">
        <v>12</v>
      </c>
      <c r="F27" s="3">
        <v>9</v>
      </c>
      <c r="H27" s="1">
        <v>87</v>
      </c>
      <c r="I27" s="1">
        <v>55</v>
      </c>
    </row>
    <row r="28" spans="1:38" x14ac:dyDescent="0.25">
      <c r="E28" s="3">
        <v>5</v>
      </c>
      <c r="F28" s="3">
        <v>13</v>
      </c>
      <c r="H28" s="1">
        <v>95</v>
      </c>
      <c r="I28" s="1">
        <v>69</v>
      </c>
    </row>
    <row r="29" spans="1:38" x14ac:dyDescent="0.25">
      <c r="E29" s="3">
        <v>5</v>
      </c>
      <c r="F29" s="3">
        <v>11</v>
      </c>
      <c r="H29" s="1">
        <v>66</v>
      </c>
      <c r="I29" s="1">
        <v>91</v>
      </c>
    </row>
    <row r="30" spans="1:38" x14ac:dyDescent="0.25">
      <c r="E30" s="3">
        <v>15</v>
      </c>
      <c r="F30" s="3">
        <v>11</v>
      </c>
      <c r="H30" s="1">
        <v>72</v>
      </c>
      <c r="I30" s="1">
        <v>30</v>
      </c>
    </row>
    <row r="31" spans="1:38" x14ac:dyDescent="0.25">
      <c r="E31" s="4">
        <v>0</v>
      </c>
      <c r="F31" s="4">
        <v>12</v>
      </c>
      <c r="H31" s="1">
        <v>84</v>
      </c>
      <c r="I31" s="1">
        <v>71</v>
      </c>
    </row>
    <row r="32" spans="1:38" x14ac:dyDescent="0.25">
      <c r="H32" s="1">
        <v>79</v>
      </c>
      <c r="I32" s="1">
        <v>66</v>
      </c>
    </row>
    <row r="33" spans="8:9" x14ac:dyDescent="0.25">
      <c r="H33" s="1">
        <v>72</v>
      </c>
      <c r="I33" s="1">
        <v>79</v>
      </c>
    </row>
    <row r="34" spans="8:9" x14ac:dyDescent="0.25">
      <c r="H34" s="1">
        <v>92</v>
      </c>
      <c r="I34" s="1">
        <v>67</v>
      </c>
    </row>
    <row r="35" spans="8:9" x14ac:dyDescent="0.25">
      <c r="H35" s="1">
        <v>77</v>
      </c>
      <c r="I35" s="1">
        <v>65</v>
      </c>
    </row>
    <row r="36" spans="8:9" x14ac:dyDescent="0.25">
      <c r="H36" s="1">
        <v>45</v>
      </c>
      <c r="I36" s="1">
        <v>76</v>
      </c>
    </row>
    <row r="37" spans="8:9" x14ac:dyDescent="0.25">
      <c r="H37" s="1">
        <v>75</v>
      </c>
      <c r="I37" s="1">
        <v>70</v>
      </c>
    </row>
    <row r="38" spans="8:9" x14ac:dyDescent="0.25">
      <c r="H38" s="1">
        <v>70</v>
      </c>
      <c r="I38" s="1">
        <v>64</v>
      </c>
    </row>
    <row r="39" spans="8:9" x14ac:dyDescent="0.25">
      <c r="H39" s="1">
        <v>91</v>
      </c>
      <c r="I39" s="1">
        <v>64</v>
      </c>
    </row>
    <row r="40" spans="8:9" x14ac:dyDescent="0.25">
      <c r="H40" s="1">
        <v>73</v>
      </c>
    </row>
    <row r="41" spans="8:9" x14ac:dyDescent="0.25">
      <c r="H41" s="1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2024-10-18T00:34:10Z</dcterms:modified>
</cp:coreProperties>
</file>