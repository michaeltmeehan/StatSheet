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213439\Dropbox\StatSheet\StatSheet\"/>
    </mc:Choice>
  </mc:AlternateContent>
  <xr:revisionPtr revIDLastSave="0" documentId="13_ncr:1_{25F15FAE-029E-4C57-AF48-1EA69D9CBD21}" xr6:coauthVersionLast="47" xr6:coauthVersionMax="47" xr10:uidLastSave="{00000000-0000-0000-0000-000000000000}"/>
  <bookViews>
    <workbookView xWindow="-108" yWindow="-108" windowWidth="23256" windowHeight="13896" xr2:uid="{C372A6C3-0B91-4A53-ABAC-D1C90F318F6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" i="1" l="1" a="1"/>
  <c r="P12" i="1" a="1"/>
  <c r="S14" i="1" l="1"/>
  <c r="P12" i="1"/>
  <c r="P1" i="1" a="1"/>
  <c r="AK15" i="1" a="1"/>
  <c r="Z12" i="1" a="1"/>
  <c r="AK1" i="1" a="1"/>
  <c r="Z1" i="1" a="1"/>
  <c r="AC12" i="1" a="1"/>
  <c r="P1" i="1" l="1"/>
  <c r="AC12" i="1"/>
  <c r="Z1" i="1"/>
  <c r="AK1" i="1"/>
  <c r="Z12" i="1"/>
  <c r="AK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<sst xmlns="http://schemas.openxmlformats.org/spreadsheetml/2006/main" count="51" uniqueCount="22">
  <si>
    <t>Location</t>
  </si>
  <si>
    <t>Home</t>
  </si>
  <si>
    <t>Away</t>
  </si>
  <si>
    <t>Score</t>
  </si>
  <si>
    <t>Result</t>
  </si>
  <si>
    <t>Win</t>
  </si>
  <si>
    <t>Loss</t>
  </si>
  <si>
    <t>Draw</t>
  </si>
  <si>
    <t>Wife</t>
  </si>
  <si>
    <t>Husband</t>
  </si>
  <si>
    <t>Non-smokers</t>
  </si>
  <si>
    <t>Smokers</t>
  </si>
  <si>
    <t>Flavour 1</t>
  </si>
  <si>
    <t>Flavour 2</t>
  </si>
  <si>
    <t>Flavour 3</t>
  </si>
  <si>
    <t>Method 1</t>
  </si>
  <si>
    <t>Method 2</t>
  </si>
  <si>
    <t>Method 3</t>
  </si>
  <si>
    <t>Method 4</t>
  </si>
  <si>
    <t>New</t>
  </si>
  <si>
    <t>Old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</si>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</sst>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Fill="1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E162-8956-4102-BE63-0B2B50BAF088}">
  <sheetPr codeName="Sheet1"/>
  <dimension ref="A1:AN41"/>
  <sheetViews>
    <sheetView tabSelected="1" workbookViewId="0">
      <selection activeCell="K17" sqref="K17"/>
    </sheetView>
  </sheetViews>
  <sheetFormatPr defaultRowHeight="15" x14ac:dyDescent="0.25"/>
  <cols>
    <col min="4" max="4" width="11" bestFit="1" customWidth="1"/>
    <col min="8" max="9" width="9.140625" style="1"/>
    <col min="11" max="13" width="9.140625" style="6"/>
  </cols>
  <sheetData>
    <row r="1" spans="1:40" x14ac:dyDescent="0.25">
      <c r="A1" t="s">
        <v>0</v>
      </c>
      <c r="B1" t="s">
        <v>4</v>
      </c>
      <c r="C1" t="s">
        <v>3</v>
      </c>
      <c r="E1" s="2" t="s">
        <v>8</v>
      </c>
      <c r="F1" s="2" t="s">
        <v>9</v>
      </c>
      <c r="H1" s="1" t="s">
        <v>10</v>
      </c>
      <c r="I1" s="5" t="s">
        <v>11</v>
      </c>
      <c r="K1" s="6" t="s">
        <v>12</v>
      </c>
      <c r="L1" s="6" t="s">
        <v>13</v>
      </c>
      <c r="M1" s="6" t="s">
        <v>14</v>
      </c>
      <c r="P1" t="str" cm="1">
        <f t="array" ref="P1:S9">DESCRIBE(K:M, TRUE)</f>
        <v>Metric</v>
      </c>
      <c r="Q1" s="6" t="str">
        <v>Flavour 1</v>
      </c>
      <c r="R1" s="6" t="str">
        <v>Flavour 2</v>
      </c>
      <c r="S1" s="6" t="str">
        <v>Flavour 3</v>
      </c>
      <c r="U1" t="s">
        <v>15</v>
      </c>
      <c r="V1" t="s">
        <v>16</v>
      </c>
      <c r="W1" t="s">
        <v>17</v>
      </c>
      <c r="X1" t="s">
        <v>18</v>
      </c>
      <c r="Z1" t="str" cm="1">
        <f t="array" ref="Z1:AD9">DESCRIBE(U:X,TRUE)</f>
        <v>Metric</v>
      </c>
      <c r="AA1" t="str">
        <v>Method 1</v>
      </c>
      <c r="AB1" t="str">
        <v>Method 2</v>
      </c>
      <c r="AC1" t="str">
        <v>Method 3</v>
      </c>
      <c r="AD1" t="str">
        <v>Method 4</v>
      </c>
      <c r="AG1" t="s">
        <v>19</v>
      </c>
      <c r="AH1" t="s">
        <v>20</v>
      </c>
      <c r="AI1" t="s">
        <v>21</v>
      </c>
      <c r="AK1" t="str" cm="1">
        <f t="array" ref="AK1:AN9">DESCRIBE(AG:AI,TRUE)</f>
        <v>Metric</v>
      </c>
      <c r="AL1" t="str">
        <v>New</v>
      </c>
      <c r="AM1" t="str">
        <v>Old</v>
      </c>
      <c r="AN1" t="str">
        <v>Control</v>
      </c>
    </row>
    <row r="2" spans="1:40" x14ac:dyDescent="0.25">
      <c r="A2" t="s">
        <v>1</v>
      </c>
      <c r="B2" t="s">
        <v>5</v>
      </c>
      <c r="C2">
        <v>61</v>
      </c>
      <c r="E2" s="3">
        <v>15</v>
      </c>
      <c r="F2" s="3">
        <v>17</v>
      </c>
      <c r="H2" s="1">
        <v>81</v>
      </c>
      <c r="I2" s="1">
        <v>72</v>
      </c>
      <c r="K2" s="6">
        <v>13</v>
      </c>
      <c r="L2" s="6">
        <v>12</v>
      </c>
      <c r="M2" s="6">
        <v>7</v>
      </c>
      <c r="P2" t="str">
        <v>n</v>
      </c>
      <c r="Q2">
        <v>10</v>
      </c>
      <c r="R2">
        <v>10</v>
      </c>
      <c r="S2">
        <v>10</v>
      </c>
      <c r="U2">
        <v>51</v>
      </c>
      <c r="V2">
        <v>82</v>
      </c>
      <c r="W2">
        <v>79</v>
      </c>
      <c r="X2">
        <v>85</v>
      </c>
      <c r="Z2" t="str">
        <v>n</v>
      </c>
      <c r="AA2">
        <v>8</v>
      </c>
      <c r="AB2">
        <v>8</v>
      </c>
      <c r="AC2">
        <v>8</v>
      </c>
      <c r="AD2">
        <v>8</v>
      </c>
      <c r="AG2">
        <v>27</v>
      </c>
      <c r="AH2">
        <v>22.5</v>
      </c>
      <c r="AI2">
        <v>3</v>
      </c>
      <c r="AK2" t="str">
        <v>n</v>
      </c>
      <c r="AL2">
        <v>10</v>
      </c>
      <c r="AM2">
        <v>9</v>
      </c>
      <c r="AN2">
        <v>8</v>
      </c>
    </row>
    <row r="3" spans="1:40" x14ac:dyDescent="0.25">
      <c r="A3" t="s">
        <v>2</v>
      </c>
      <c r="B3" t="s">
        <v>7</v>
      </c>
      <c r="C3">
        <v>61</v>
      </c>
      <c r="E3" s="3">
        <v>8</v>
      </c>
      <c r="F3" s="3">
        <v>19</v>
      </c>
      <c r="H3" s="1">
        <v>65</v>
      </c>
      <c r="I3" s="1">
        <v>80</v>
      </c>
      <c r="K3" s="6">
        <v>17</v>
      </c>
      <c r="L3" s="6">
        <v>8</v>
      </c>
      <c r="M3" s="6">
        <v>19</v>
      </c>
      <c r="P3" t="str">
        <v>Mean</v>
      </c>
      <c r="Q3">
        <v>15</v>
      </c>
      <c r="R3">
        <v>11.1</v>
      </c>
      <c r="S3">
        <v>13.5</v>
      </c>
      <c r="U3">
        <v>87</v>
      </c>
      <c r="V3">
        <v>91</v>
      </c>
      <c r="W3">
        <v>84</v>
      </c>
      <c r="X3">
        <v>80</v>
      </c>
      <c r="Z3" t="str">
        <v>Mean</v>
      </c>
      <c r="AA3">
        <v>60.375</v>
      </c>
      <c r="AB3">
        <v>77.75</v>
      </c>
      <c r="AC3">
        <v>78</v>
      </c>
      <c r="AD3">
        <v>71.875</v>
      </c>
      <c r="AG3">
        <v>12.5</v>
      </c>
      <c r="AH3">
        <v>11</v>
      </c>
      <c r="AI3">
        <v>24.5</v>
      </c>
      <c r="AK3" t="str">
        <v>Mean</v>
      </c>
      <c r="AL3">
        <v>19.899999999999999</v>
      </c>
      <c r="AM3">
        <v>10.722222222222221</v>
      </c>
      <c r="AN3">
        <v>10.3125</v>
      </c>
    </row>
    <row r="4" spans="1:40" x14ac:dyDescent="0.25">
      <c r="A4" t="s">
        <v>1</v>
      </c>
      <c r="B4" t="s">
        <v>6</v>
      </c>
      <c r="C4">
        <v>63</v>
      </c>
      <c r="E4" s="3">
        <v>11</v>
      </c>
      <c r="F4" s="3">
        <v>18</v>
      </c>
      <c r="H4" s="1">
        <v>89</v>
      </c>
      <c r="I4" s="1">
        <v>63</v>
      </c>
      <c r="K4" s="6">
        <v>19</v>
      </c>
      <c r="L4" s="6">
        <v>6</v>
      </c>
      <c r="M4" s="6">
        <v>15</v>
      </c>
      <c r="P4" t="str">
        <v>Median</v>
      </c>
      <c r="Q4">
        <v>15.5</v>
      </c>
      <c r="R4">
        <v>11.5</v>
      </c>
      <c r="S4">
        <v>14</v>
      </c>
      <c r="U4">
        <v>50</v>
      </c>
      <c r="V4">
        <v>91</v>
      </c>
      <c r="W4">
        <v>74</v>
      </c>
      <c r="X4">
        <v>65</v>
      </c>
      <c r="Z4" t="str">
        <v>Median</v>
      </c>
      <c r="AA4">
        <v>53.5</v>
      </c>
      <c r="AB4">
        <v>79.5</v>
      </c>
      <c r="AC4">
        <v>81</v>
      </c>
      <c r="AD4">
        <v>69</v>
      </c>
      <c r="AG4">
        <v>19</v>
      </c>
      <c r="AH4">
        <v>8</v>
      </c>
      <c r="AI4">
        <v>14</v>
      </c>
      <c r="AK4" t="str">
        <v>Median</v>
      </c>
      <c r="AL4">
        <v>19.5</v>
      </c>
      <c r="AM4">
        <v>9.5</v>
      </c>
      <c r="AN4">
        <v>6.25</v>
      </c>
    </row>
    <row r="5" spans="1:40" x14ac:dyDescent="0.25">
      <c r="A5" t="s">
        <v>1</v>
      </c>
      <c r="B5" t="s">
        <v>6</v>
      </c>
      <c r="C5">
        <v>86</v>
      </c>
      <c r="E5" s="3">
        <v>19</v>
      </c>
      <c r="F5" s="3">
        <v>19</v>
      </c>
      <c r="H5" s="1">
        <v>70</v>
      </c>
      <c r="I5" s="1">
        <v>67</v>
      </c>
      <c r="K5" s="6">
        <v>11</v>
      </c>
      <c r="L5" s="6">
        <v>16</v>
      </c>
      <c r="M5" s="6">
        <v>14</v>
      </c>
      <c r="P5" t="str">
        <v>Standard Deviation</v>
      </c>
      <c r="Q5">
        <v>3.6514837167011076</v>
      </c>
      <c r="R5">
        <v>4.3320510923425957</v>
      </c>
      <c r="S5">
        <v>3.7490739597339973</v>
      </c>
      <c r="U5">
        <v>48</v>
      </c>
      <c r="V5">
        <v>80</v>
      </c>
      <c r="W5">
        <v>98</v>
      </c>
      <c r="X5">
        <v>71</v>
      </c>
      <c r="Z5" t="str">
        <v>Standard Deviation</v>
      </c>
      <c r="AA5">
        <v>14.637891143974842</v>
      </c>
      <c r="AB5">
        <v>12.395275597696775</v>
      </c>
      <c r="AC5">
        <v>12.828539611796371</v>
      </c>
      <c r="AD5">
        <v>13.474181660812334</v>
      </c>
      <c r="AG5">
        <v>26</v>
      </c>
      <c r="AH5">
        <v>5.5</v>
      </c>
      <c r="AI5">
        <v>4</v>
      </c>
      <c r="AK5" t="str">
        <v>Standard Deviation</v>
      </c>
      <c r="AL5">
        <v>4.8120219820316246</v>
      </c>
      <c r="AM5">
        <v>6.2605466569976507</v>
      </c>
      <c r="AN5">
        <v>8.944022345359258</v>
      </c>
    </row>
    <row r="6" spans="1:40" x14ac:dyDescent="0.25">
      <c r="A6" t="s">
        <v>2</v>
      </c>
      <c r="B6" t="s">
        <v>6</v>
      </c>
      <c r="C6">
        <v>70</v>
      </c>
      <c r="E6" s="3">
        <v>13</v>
      </c>
      <c r="F6" s="3">
        <v>17</v>
      </c>
      <c r="H6" s="1">
        <v>87</v>
      </c>
      <c r="I6" s="1">
        <v>69</v>
      </c>
      <c r="J6" s="5"/>
      <c r="K6" s="6">
        <v>20</v>
      </c>
      <c r="L6" s="6">
        <v>12</v>
      </c>
      <c r="M6" s="6">
        <v>10</v>
      </c>
      <c r="P6" t="str">
        <v>Min</v>
      </c>
      <c r="Q6">
        <v>9</v>
      </c>
      <c r="R6">
        <v>4</v>
      </c>
      <c r="S6">
        <v>7</v>
      </c>
      <c r="U6">
        <v>79</v>
      </c>
      <c r="V6">
        <v>52</v>
      </c>
      <c r="W6">
        <v>63</v>
      </c>
      <c r="X6">
        <v>67</v>
      </c>
      <c r="Z6" t="str">
        <v>Min</v>
      </c>
      <c r="AA6">
        <v>48</v>
      </c>
      <c r="AB6">
        <v>52</v>
      </c>
      <c r="AC6">
        <v>58</v>
      </c>
      <c r="AD6">
        <v>51</v>
      </c>
      <c r="AG6">
        <v>15</v>
      </c>
      <c r="AH6">
        <v>9.5</v>
      </c>
      <c r="AI6">
        <v>7</v>
      </c>
      <c r="AK6" t="str">
        <v>Min</v>
      </c>
      <c r="AL6">
        <v>12.5</v>
      </c>
      <c r="AM6">
        <v>1</v>
      </c>
      <c r="AN6">
        <v>2</v>
      </c>
    </row>
    <row r="7" spans="1:40" x14ac:dyDescent="0.25">
      <c r="A7" t="s">
        <v>2</v>
      </c>
      <c r="B7" t="s">
        <v>5</v>
      </c>
      <c r="E7" s="3">
        <v>4</v>
      </c>
      <c r="F7" s="3">
        <v>5</v>
      </c>
      <c r="H7" s="1">
        <v>61</v>
      </c>
      <c r="I7" s="1">
        <v>62</v>
      </c>
      <c r="K7" s="6">
        <v>15</v>
      </c>
      <c r="L7" s="6">
        <v>14</v>
      </c>
      <c r="M7" s="6">
        <v>16</v>
      </c>
      <c r="P7" t="str">
        <v>Max</v>
      </c>
      <c r="Q7">
        <v>20</v>
      </c>
      <c r="R7">
        <v>18</v>
      </c>
      <c r="S7">
        <v>19</v>
      </c>
      <c r="U7">
        <v>61</v>
      </c>
      <c r="V7">
        <v>79</v>
      </c>
      <c r="W7">
        <v>83</v>
      </c>
      <c r="X7">
        <v>51</v>
      </c>
      <c r="Z7" t="str">
        <v>Max</v>
      </c>
      <c r="AA7">
        <v>87</v>
      </c>
      <c r="AB7">
        <v>91</v>
      </c>
      <c r="AC7">
        <v>98</v>
      </c>
      <c r="AD7">
        <v>93</v>
      </c>
      <c r="AG7">
        <v>20</v>
      </c>
      <c r="AH7">
        <v>9.5</v>
      </c>
      <c r="AI7">
        <v>2</v>
      </c>
      <c r="AK7" t="str">
        <v>Max</v>
      </c>
      <c r="AL7">
        <v>27</v>
      </c>
      <c r="AM7">
        <v>22.5</v>
      </c>
      <c r="AN7">
        <v>24.5</v>
      </c>
    </row>
    <row r="8" spans="1:40" x14ac:dyDescent="0.25">
      <c r="A8" t="s">
        <v>2</v>
      </c>
      <c r="B8" t="s">
        <v>6</v>
      </c>
      <c r="C8">
        <v>55</v>
      </c>
      <c r="E8" s="3">
        <v>16</v>
      </c>
      <c r="F8" s="3">
        <v>13</v>
      </c>
      <c r="H8" s="1">
        <v>94</v>
      </c>
      <c r="I8" s="1">
        <v>67</v>
      </c>
      <c r="K8" s="6">
        <v>18</v>
      </c>
      <c r="L8" s="6">
        <v>10</v>
      </c>
      <c r="M8" s="6">
        <v>18</v>
      </c>
      <c r="P8" t="str">
        <v>Q1</v>
      </c>
      <c r="Q8">
        <v>12.25</v>
      </c>
      <c r="R8">
        <v>8.5</v>
      </c>
      <c r="S8">
        <v>11</v>
      </c>
      <c r="U8">
        <v>53</v>
      </c>
      <c r="V8">
        <v>73</v>
      </c>
      <c r="W8">
        <v>85</v>
      </c>
      <c r="X8">
        <v>63</v>
      </c>
      <c r="Z8" t="str">
        <v>Q1</v>
      </c>
      <c r="AA8">
        <v>50.75</v>
      </c>
      <c r="AB8">
        <v>73.75</v>
      </c>
      <c r="AC8">
        <v>71.25</v>
      </c>
      <c r="AD8">
        <v>64.5</v>
      </c>
      <c r="AG8">
        <v>16</v>
      </c>
      <c r="AH8">
        <v>12.5</v>
      </c>
      <c r="AI8">
        <v>22.5</v>
      </c>
      <c r="AK8" t="str">
        <v>Q1</v>
      </c>
      <c r="AL8">
        <v>16.5</v>
      </c>
      <c r="AM8">
        <v>8</v>
      </c>
      <c r="AN8">
        <v>3.75</v>
      </c>
    </row>
    <row r="9" spans="1:40" x14ac:dyDescent="0.25">
      <c r="A9" t="s">
        <v>1</v>
      </c>
      <c r="B9" t="s">
        <v>7</v>
      </c>
      <c r="C9">
        <v>74</v>
      </c>
      <c r="E9" s="3">
        <v>5</v>
      </c>
      <c r="F9" s="3">
        <v>0</v>
      </c>
      <c r="H9" s="1">
        <v>98</v>
      </c>
      <c r="I9" s="1">
        <v>62</v>
      </c>
      <c r="K9" s="6">
        <v>9</v>
      </c>
      <c r="L9" s="6">
        <v>18</v>
      </c>
      <c r="M9" s="6">
        <v>11</v>
      </c>
      <c r="P9" t="str">
        <v>Q3</v>
      </c>
      <c r="Q9">
        <v>17.75</v>
      </c>
      <c r="R9">
        <v>13.5</v>
      </c>
      <c r="S9">
        <v>15.75</v>
      </c>
      <c r="U9">
        <v>54</v>
      </c>
      <c r="V9">
        <v>74</v>
      </c>
      <c r="W9">
        <v>58</v>
      </c>
      <c r="X9">
        <v>93</v>
      </c>
      <c r="Z9" t="str">
        <v>Q3</v>
      </c>
      <c r="AA9">
        <v>65.5</v>
      </c>
      <c r="AB9">
        <v>84.25</v>
      </c>
      <c r="AC9">
        <v>84.25</v>
      </c>
      <c r="AD9">
        <v>81.25</v>
      </c>
      <c r="AG9">
        <v>21</v>
      </c>
      <c r="AH9">
        <v>1</v>
      </c>
      <c r="AI9">
        <v>5.5</v>
      </c>
      <c r="AK9" t="str">
        <v>Q3</v>
      </c>
      <c r="AL9">
        <v>23.625</v>
      </c>
      <c r="AM9">
        <v>12.5</v>
      </c>
      <c r="AN9">
        <v>16.125</v>
      </c>
    </row>
    <row r="10" spans="1:40" x14ac:dyDescent="0.25">
      <c r="A10" t="s">
        <v>1</v>
      </c>
      <c r="B10" t="s">
        <v>5</v>
      </c>
      <c r="C10">
        <v>65</v>
      </c>
      <c r="E10" s="3">
        <v>9</v>
      </c>
      <c r="F10" s="3">
        <v>16</v>
      </c>
      <c r="H10" s="1">
        <v>81</v>
      </c>
      <c r="I10" s="1">
        <v>71</v>
      </c>
      <c r="K10" s="6">
        <v>12</v>
      </c>
      <c r="L10" s="6">
        <v>4</v>
      </c>
      <c r="M10" s="6">
        <v>14</v>
      </c>
      <c r="AG10">
        <v>24.5</v>
      </c>
      <c r="AH10">
        <v>17</v>
      </c>
    </row>
    <row r="11" spans="1:40" x14ac:dyDescent="0.25">
      <c r="A11" t="s">
        <v>1</v>
      </c>
      <c r="B11" t="s">
        <v>6</v>
      </c>
      <c r="C11">
        <v>72</v>
      </c>
      <c r="E11" s="3">
        <v>15</v>
      </c>
      <c r="F11" s="3">
        <v>21</v>
      </c>
      <c r="H11" s="1">
        <v>70</v>
      </c>
      <c r="I11" s="1">
        <v>70</v>
      </c>
      <c r="K11" s="6">
        <v>16</v>
      </c>
      <c r="L11" s="6">
        <v>11</v>
      </c>
      <c r="M11" s="6">
        <v>11</v>
      </c>
      <c r="AG11">
        <v>18</v>
      </c>
    </row>
    <row r="12" spans="1:40" x14ac:dyDescent="0.25">
      <c r="A12" t="s">
        <v>2</v>
      </c>
      <c r="B12" t="s">
        <v>5</v>
      </c>
      <c r="C12">
        <v>68</v>
      </c>
      <c r="E12" s="3">
        <v>12</v>
      </c>
      <c r="F12" s="3">
        <v>12</v>
      </c>
      <c r="H12" s="1">
        <v>62</v>
      </c>
      <c r="I12" s="1">
        <v>86</v>
      </c>
      <c r="P12" t="str" cm="1">
        <f t="array" ref="P12:Q17">ANOVA(H:I,TRUE)</f>
        <v>F-Statistic</v>
      </c>
      <c r="Q12">
        <v>8.9657406114143079</v>
      </c>
      <c r="R12" s="6"/>
      <c r="S12" s="6"/>
      <c r="Z12" t="str" cm="1">
        <f t="array" ref="Z12:AA17">ANOVA(U:X,TRUE)</f>
        <v>F-Statistic</v>
      </c>
      <c r="AA12">
        <v>3.0507344237149669</v>
      </c>
      <c r="AC12" t="str" cm="1">
        <f t="array" ref="AC12:AD14">KRUSKALL_WALLIS(U:X,TRUE)</f>
        <v>H statistic</v>
      </c>
      <c r="AD12">
        <v>6.8061079545454541</v>
      </c>
    </row>
    <row r="13" spans="1:40" x14ac:dyDescent="0.25">
      <c r="A13" t="s">
        <v>2</v>
      </c>
      <c r="B13" t="s">
        <v>5</v>
      </c>
      <c r="C13">
        <v>45</v>
      </c>
      <c r="E13" s="3">
        <v>11</v>
      </c>
      <c r="F13" s="3">
        <v>9</v>
      </c>
      <c r="H13" s="1">
        <v>86</v>
      </c>
      <c r="I13" s="1">
        <v>35</v>
      </c>
      <c r="P13" t="str">
        <v>P-Value</v>
      </c>
      <c r="Q13">
        <v>3.711017587971298E-3</v>
      </c>
      <c r="R13" s="6"/>
      <c r="S13" s="6"/>
      <c r="Z13" t="str">
        <v>P-Value</v>
      </c>
      <c r="AA13">
        <v>4.4889895984961084E-2</v>
      </c>
      <c r="AC13" t="str">
        <v>Degrees of freedom</v>
      </c>
      <c r="AD13">
        <v>3</v>
      </c>
    </row>
    <row r="14" spans="1:40" x14ac:dyDescent="0.25">
      <c r="A14" t="s">
        <v>1</v>
      </c>
      <c r="B14" t="s">
        <v>5</v>
      </c>
      <c r="C14">
        <v>58</v>
      </c>
      <c r="E14" s="3">
        <v>14</v>
      </c>
      <c r="F14" s="3">
        <v>10</v>
      </c>
      <c r="H14" s="1">
        <v>89</v>
      </c>
      <c r="I14" s="1">
        <v>78</v>
      </c>
      <c r="P14" t="str">
        <v>Sum of Squares Between</v>
      </c>
      <c r="Q14">
        <v>1319.1635964912277</v>
      </c>
      <c r="R14" s="6"/>
      <c r="S14" s="6" cm="1">
        <f t="array" ref="S14">FIND_LAST_ROW(K1:K11)</f>
        <v>11</v>
      </c>
      <c r="Z14" t="str">
        <v>Sum of Squares Between</v>
      </c>
      <c r="AA14">
        <v>1633.75</v>
      </c>
      <c r="AC14" t="str">
        <v>P-value</v>
      </c>
      <c r="AD14">
        <v>7.8341375647437608E-2</v>
      </c>
    </row>
    <row r="15" spans="1:40" x14ac:dyDescent="0.25">
      <c r="A15" t="s">
        <v>2</v>
      </c>
      <c r="B15" t="s">
        <v>5</v>
      </c>
      <c r="C15">
        <v>100</v>
      </c>
      <c r="E15" s="3">
        <v>4</v>
      </c>
      <c r="F15" s="3">
        <v>17</v>
      </c>
      <c r="H15" s="1">
        <v>75</v>
      </c>
      <c r="I15" s="1">
        <v>72</v>
      </c>
      <c r="P15" t="str">
        <v>Sum of Squares Within</v>
      </c>
      <c r="Q15">
        <v>11182.169736842106</v>
      </c>
      <c r="Z15" t="str">
        <v>Sum of Squares Within</v>
      </c>
      <c r="AA15">
        <v>4998.25</v>
      </c>
      <c r="AK15" t="str" cm="1">
        <f t="array" ref="AK15:AL17">KRUSKALL_WALLIS(AG:AI,TRUE)</f>
        <v>H statistic</v>
      </c>
      <c r="AL15">
        <v>8.7869157848324555</v>
      </c>
    </row>
    <row r="16" spans="1:40" x14ac:dyDescent="0.25">
      <c r="A16" t="s">
        <v>1</v>
      </c>
      <c r="B16" t="s">
        <v>7</v>
      </c>
      <c r="C16">
        <v>8</v>
      </c>
      <c r="E16" s="3">
        <v>11</v>
      </c>
      <c r="F16" s="3">
        <v>12</v>
      </c>
      <c r="H16" s="1">
        <v>76</v>
      </c>
      <c r="I16" s="1">
        <v>75</v>
      </c>
      <c r="P16" t="str">
        <v>Degrees of Freedom Between</v>
      </c>
      <c r="Q16">
        <v>1</v>
      </c>
      <c r="Z16" t="str">
        <v>Degrees of Freedom Between</v>
      </c>
      <c r="AA16">
        <v>3</v>
      </c>
      <c r="AK16" t="str">
        <v>Degrees of freedom</v>
      </c>
      <c r="AL16">
        <v>2</v>
      </c>
    </row>
    <row r="17" spans="1:38" x14ac:dyDescent="0.25">
      <c r="A17" t="s">
        <v>1</v>
      </c>
      <c r="B17" t="s">
        <v>7</v>
      </c>
      <c r="C17">
        <v>12</v>
      </c>
      <c r="E17" s="3">
        <v>17</v>
      </c>
      <c r="F17" s="3">
        <v>24</v>
      </c>
      <c r="H17" s="1">
        <v>69</v>
      </c>
      <c r="I17" s="1">
        <v>73</v>
      </c>
      <c r="P17" t="str">
        <v>Degrees of Freedom Within</v>
      </c>
      <c r="Q17">
        <v>76</v>
      </c>
      <c r="Z17" t="str">
        <v>Degrees of Freedom Within</v>
      </c>
      <c r="AA17">
        <v>28</v>
      </c>
      <c r="AK17" t="str">
        <v>P-value</v>
      </c>
      <c r="AL17">
        <v>1.2357922885419969E-2</v>
      </c>
    </row>
    <row r="18" spans="1:38" x14ac:dyDescent="0.25">
      <c r="A18" t="s">
        <v>1</v>
      </c>
      <c r="B18" t="s">
        <v>7</v>
      </c>
      <c r="C18">
        <v>4</v>
      </c>
      <c r="E18" s="3">
        <v>14</v>
      </c>
      <c r="F18" s="3">
        <v>12</v>
      </c>
      <c r="H18" s="1">
        <v>69</v>
      </c>
      <c r="I18" s="1">
        <v>71</v>
      </c>
      <c r="O18" s="6"/>
    </row>
    <row r="19" spans="1:38" x14ac:dyDescent="0.25">
      <c r="E19" s="3">
        <v>5</v>
      </c>
      <c r="F19" s="3">
        <v>12</v>
      </c>
      <c r="H19" s="1">
        <v>61</v>
      </c>
      <c r="I19" s="1">
        <v>78</v>
      </c>
    </row>
    <row r="20" spans="1:38" x14ac:dyDescent="0.25">
      <c r="E20" s="3">
        <v>9</v>
      </c>
      <c r="F20" s="3">
        <v>8</v>
      </c>
      <c r="H20" s="1">
        <v>72</v>
      </c>
      <c r="I20" s="1">
        <v>80</v>
      </c>
    </row>
    <row r="21" spans="1:38" x14ac:dyDescent="0.25">
      <c r="E21" s="3">
        <v>8</v>
      </c>
      <c r="F21" s="3">
        <v>16</v>
      </c>
      <c r="H21" s="1">
        <v>77</v>
      </c>
      <c r="I21" s="1">
        <v>45</v>
      </c>
      <c r="Q21" s="6"/>
    </row>
    <row r="22" spans="1:38" x14ac:dyDescent="0.25">
      <c r="E22" s="3">
        <v>9</v>
      </c>
      <c r="F22" s="3">
        <v>12</v>
      </c>
      <c r="H22" s="1">
        <v>90</v>
      </c>
      <c r="I22" s="1">
        <v>77</v>
      </c>
    </row>
    <row r="23" spans="1:38" x14ac:dyDescent="0.25">
      <c r="E23" s="3">
        <v>11</v>
      </c>
      <c r="F23" s="3">
        <v>7</v>
      </c>
      <c r="H23" s="1">
        <v>88</v>
      </c>
      <c r="I23" s="1">
        <v>87</v>
      </c>
    </row>
    <row r="24" spans="1:38" x14ac:dyDescent="0.25">
      <c r="E24" s="3">
        <v>11</v>
      </c>
      <c r="F24" s="3">
        <v>17</v>
      </c>
      <c r="H24" s="1">
        <v>74</v>
      </c>
      <c r="I24" s="1">
        <v>77</v>
      </c>
    </row>
    <row r="25" spans="1:38" x14ac:dyDescent="0.25">
      <c r="E25" s="3">
        <v>12</v>
      </c>
      <c r="F25" s="3">
        <v>13</v>
      </c>
      <c r="H25" s="1">
        <v>88</v>
      </c>
      <c r="I25" s="1">
        <v>65</v>
      </c>
    </row>
    <row r="26" spans="1:38" x14ac:dyDescent="0.25">
      <c r="E26" s="3">
        <v>17</v>
      </c>
      <c r="F26" s="3">
        <v>20</v>
      </c>
      <c r="H26" s="1">
        <v>90</v>
      </c>
      <c r="I26" s="1">
        <v>90</v>
      </c>
    </row>
    <row r="27" spans="1:38" x14ac:dyDescent="0.25">
      <c r="E27" s="3">
        <v>12</v>
      </c>
      <c r="F27" s="3">
        <v>9</v>
      </c>
      <c r="H27" s="1">
        <v>87</v>
      </c>
      <c r="I27" s="1">
        <v>55</v>
      </c>
    </row>
    <row r="28" spans="1:38" x14ac:dyDescent="0.25">
      <c r="E28" s="3">
        <v>5</v>
      </c>
      <c r="F28" s="3">
        <v>13</v>
      </c>
      <c r="H28" s="1">
        <v>95</v>
      </c>
      <c r="I28" s="1">
        <v>69</v>
      </c>
    </row>
    <row r="29" spans="1:38" x14ac:dyDescent="0.25">
      <c r="E29" s="3">
        <v>5</v>
      </c>
      <c r="F29" s="3">
        <v>11</v>
      </c>
      <c r="H29" s="1">
        <v>66</v>
      </c>
      <c r="I29" s="1">
        <v>91</v>
      </c>
    </row>
    <row r="30" spans="1:38" x14ac:dyDescent="0.25">
      <c r="E30" s="3">
        <v>15</v>
      </c>
      <c r="F30" s="3">
        <v>11</v>
      </c>
      <c r="H30" s="1">
        <v>72</v>
      </c>
      <c r="I30" s="1">
        <v>30</v>
      </c>
    </row>
    <row r="31" spans="1:38" x14ac:dyDescent="0.25">
      <c r="E31" s="4">
        <v>0</v>
      </c>
      <c r="F31" s="4">
        <v>12</v>
      </c>
      <c r="H31" s="1">
        <v>84</v>
      </c>
      <c r="I31" s="1">
        <v>71</v>
      </c>
    </row>
    <row r="32" spans="1:38" x14ac:dyDescent="0.25">
      <c r="H32" s="1">
        <v>79</v>
      </c>
      <c r="I32" s="1">
        <v>66</v>
      </c>
    </row>
    <row r="33" spans="8:9" x14ac:dyDescent="0.25">
      <c r="H33" s="1">
        <v>72</v>
      </c>
      <c r="I33" s="1">
        <v>79</v>
      </c>
    </row>
    <row r="34" spans="8:9" x14ac:dyDescent="0.25">
      <c r="H34" s="1">
        <v>92</v>
      </c>
      <c r="I34" s="1">
        <v>67</v>
      </c>
    </row>
    <row r="35" spans="8:9" x14ac:dyDescent="0.25">
      <c r="H35" s="1">
        <v>77</v>
      </c>
      <c r="I35" s="1">
        <v>65</v>
      </c>
    </row>
    <row r="36" spans="8:9" x14ac:dyDescent="0.25">
      <c r="H36" s="1">
        <v>45</v>
      </c>
      <c r="I36" s="1">
        <v>76</v>
      </c>
    </row>
    <row r="37" spans="8:9" x14ac:dyDescent="0.25">
      <c r="H37" s="1">
        <v>75</v>
      </c>
      <c r="I37" s="1">
        <v>70</v>
      </c>
    </row>
    <row r="38" spans="8:9" x14ac:dyDescent="0.25">
      <c r="H38" s="1">
        <v>70</v>
      </c>
      <c r="I38" s="1">
        <v>64</v>
      </c>
    </row>
    <row r="39" spans="8:9" x14ac:dyDescent="0.25">
      <c r="H39" s="1">
        <v>91</v>
      </c>
      <c r="I39" s="1">
        <v>64</v>
      </c>
    </row>
    <row r="40" spans="8:9" x14ac:dyDescent="0.25">
      <c r="H40" s="1">
        <v>73</v>
      </c>
    </row>
    <row r="41" spans="8:9" x14ac:dyDescent="0.25">
      <c r="H41" s="1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Meehan</dc:creator>
  <cp:lastModifiedBy>Michael Meehan</cp:lastModifiedBy>
  <dcterms:created xsi:type="dcterms:W3CDTF">2024-10-13T10:27:12Z</dcterms:created>
  <dcterms:modified xsi:type="dcterms:W3CDTF">2024-10-16T11:34:11Z</dcterms:modified>
</cp:coreProperties>
</file>