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StatSheet\StatSheet\"/>
    </mc:Choice>
  </mc:AlternateContent>
  <xr:revisionPtr revIDLastSave="0" documentId="13_ncr:1_{FD42C13B-0CF1-44C6-AB75-3B1F818C2A4E}" xr6:coauthVersionLast="47" xr6:coauthVersionMax="47" xr10:uidLastSave="{00000000-0000-0000-0000-000000000000}"/>
  <bookViews>
    <workbookView xWindow="-108" yWindow="-108" windowWidth="23256" windowHeight="13896" xr2:uid="{C372A6C3-0B91-4A53-ABAC-D1C90F318F6C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5" i="1" l="1" a="1"/>
  <c r="S7" i="1" a="1"/>
  <c r="M1" i="2" a="1"/>
  <c r="J1" i="2" a="1"/>
  <c r="E1" i="2" a="1"/>
  <c r="S25" i="1" l="1"/>
  <c r="S7" i="1"/>
  <c r="M1" i="2"/>
  <c r="J1" i="2"/>
  <c r="E1" i="2"/>
  <c r="U14" i="1" l="1"/>
  <c r="AK15" i="1" a="1"/>
  <c r="O1" i="1" a="1"/>
  <c r="S14" i="1" a="1"/>
  <c r="AK1" i="1" a="1"/>
  <c r="S19" i="1" a="1"/>
  <c r="S19" i="1" l="1"/>
  <c r="S14" i="1"/>
  <c r="O1" i="1"/>
  <c r="AK1" i="1"/>
  <c r="AK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<sst xmlns="http://schemas.openxmlformats.org/spreadsheetml/2006/main" count="85" uniqueCount="27">
  <si>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</si>
  <si>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</si>
  <si>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</si>
  <si>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</si>
  <si>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</si>
  <si>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</si>
  <si>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</si>
  <si>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</si>
  <si>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</si>
  <si>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</si>
  <si>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</si>
  <si>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</si>
  <si>
    <t>Flavour 1</t>
  </si>
  <si>
    <t>Flavour 2</t>
  </si>
  <si>
    <t>Flavour 3</t>
  </si>
  <si>
    <t>Method 1</t>
  </si>
  <si>
    <t>Method 2</t>
  </si>
  <si>
    <t>Method 3</t>
  </si>
  <si>
    <t>Method 4</t>
  </si>
  <si>
    <t>New</t>
  </si>
  <si>
    <t>Old</t>
  </si>
  <si>
    <t>Control</t>
  </si>
  <si>
    <t>Group</t>
  </si>
  <si>
    <t>Measurement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</si>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</sst>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AN41"/>
  <sheetViews>
    <sheetView tabSelected="1" workbookViewId="0">
      <selection activeCell="K14" sqref="K14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40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">
        <v>12</v>
      </c>
      <c r="L1" s="6" t="s">
        <v>13</v>
      </c>
      <c r="M1" s="6" t="s">
        <v>14</v>
      </c>
      <c r="O1" t="str" cm="1">
        <f t="array" ref="O1:Q7">SPLIT_VALUES(C:C,B:B,TRUE)</f>
        <v>Win</v>
      </c>
      <c r="P1" t="str">
        <v>Draw</v>
      </c>
      <c r="Q1" s="6" t="str">
        <v>Loss</v>
      </c>
      <c r="R1" s="6"/>
      <c r="S1" s="6"/>
      <c r="U1" t="s">
        <v>15</v>
      </c>
      <c r="V1" t="s">
        <v>16</v>
      </c>
      <c r="W1" t="s">
        <v>17</v>
      </c>
      <c r="X1" t="s">
        <v>18</v>
      </c>
      <c r="AG1" t="s">
        <v>19</v>
      </c>
      <c r="AH1" t="s">
        <v>20</v>
      </c>
      <c r="AI1" t="s">
        <v>21</v>
      </c>
      <c r="AK1" t="str" cm="1">
        <f t="array" ref="AK1:AN9">DESCRIBE(AG:AI,TRUE)</f>
        <v>Metric</v>
      </c>
      <c r="AL1" t="str">
        <v>New</v>
      </c>
      <c r="AM1" t="str">
        <v>Old</v>
      </c>
      <c r="AN1" t="str">
        <v>Control</v>
      </c>
    </row>
    <row r="2" spans="1:40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13</v>
      </c>
      <c r="L2" s="6">
        <v>12</v>
      </c>
      <c r="M2" s="6">
        <v>7</v>
      </c>
      <c r="O2">
        <v>61</v>
      </c>
      <c r="P2">
        <v>61</v>
      </c>
      <c r="Q2">
        <v>63</v>
      </c>
      <c r="U2">
        <v>51</v>
      </c>
      <c r="V2">
        <v>82</v>
      </c>
      <c r="W2">
        <v>79</v>
      </c>
      <c r="X2">
        <v>85</v>
      </c>
      <c r="AG2">
        <v>27</v>
      </c>
      <c r="AH2">
        <v>22.5</v>
      </c>
      <c r="AI2">
        <v>3</v>
      </c>
      <c r="AK2" t="str">
        <v>n</v>
      </c>
      <c r="AL2">
        <v>10</v>
      </c>
      <c r="AM2">
        <v>9</v>
      </c>
      <c r="AN2">
        <v>8</v>
      </c>
    </row>
    <row r="3" spans="1:40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17</v>
      </c>
      <c r="L3" s="6">
        <v>8</v>
      </c>
      <c r="M3" s="6">
        <v>19</v>
      </c>
      <c r="O3">
        <v>65</v>
      </c>
      <c r="P3">
        <v>74</v>
      </c>
      <c r="Q3">
        <v>86</v>
      </c>
      <c r="U3">
        <v>87</v>
      </c>
      <c r="V3">
        <v>91</v>
      </c>
      <c r="W3">
        <v>84</v>
      </c>
      <c r="X3">
        <v>80</v>
      </c>
      <c r="AG3">
        <v>12.5</v>
      </c>
      <c r="AH3">
        <v>11</v>
      </c>
      <c r="AI3">
        <v>24.5</v>
      </c>
      <c r="AK3" t="str">
        <v>Mean</v>
      </c>
      <c r="AL3">
        <v>19.899999999999999</v>
      </c>
      <c r="AM3">
        <v>10.722222222222221</v>
      </c>
      <c r="AN3">
        <v>10.3125</v>
      </c>
    </row>
    <row r="4" spans="1:40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19</v>
      </c>
      <c r="L4" s="6">
        <v>6</v>
      </c>
      <c r="M4" s="6">
        <v>15</v>
      </c>
      <c r="O4">
        <v>68</v>
      </c>
      <c r="P4">
        <v>8</v>
      </c>
      <c r="Q4">
        <v>70</v>
      </c>
      <c r="U4">
        <v>50</v>
      </c>
      <c r="V4">
        <v>91</v>
      </c>
      <c r="W4">
        <v>74</v>
      </c>
      <c r="X4">
        <v>65</v>
      </c>
      <c r="AG4">
        <v>19</v>
      </c>
      <c r="AH4">
        <v>8</v>
      </c>
      <c r="AI4">
        <v>14</v>
      </c>
      <c r="AK4" t="str">
        <v>Median</v>
      </c>
      <c r="AL4">
        <v>19.5</v>
      </c>
      <c r="AM4">
        <v>9.5</v>
      </c>
      <c r="AN4">
        <v>6.25</v>
      </c>
    </row>
    <row r="5" spans="1:40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11</v>
      </c>
      <c r="L5" s="6">
        <v>16</v>
      </c>
      <c r="M5" s="6">
        <v>14</v>
      </c>
      <c r="O5">
        <v>45</v>
      </c>
      <c r="P5">
        <v>12</v>
      </c>
      <c r="Q5">
        <v>55</v>
      </c>
      <c r="U5">
        <v>48</v>
      </c>
      <c r="V5">
        <v>80</v>
      </c>
      <c r="W5">
        <v>98</v>
      </c>
      <c r="X5">
        <v>71</v>
      </c>
      <c r="AG5">
        <v>26</v>
      </c>
      <c r="AH5">
        <v>5.5</v>
      </c>
      <c r="AI5">
        <v>4</v>
      </c>
      <c r="AK5" t="str">
        <v>Standard Deviation</v>
      </c>
      <c r="AL5">
        <v>4.8120219820316246</v>
      </c>
      <c r="AM5">
        <v>6.2605466569976507</v>
      </c>
      <c r="AN5">
        <v>8.944022345359258</v>
      </c>
    </row>
    <row r="6" spans="1:40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J6" s="5"/>
      <c r="K6" s="6">
        <v>20</v>
      </c>
      <c r="L6" s="6">
        <v>12</v>
      </c>
      <c r="M6" s="6">
        <v>10</v>
      </c>
      <c r="O6">
        <v>58</v>
      </c>
      <c r="P6">
        <v>4</v>
      </c>
      <c r="Q6">
        <v>72</v>
      </c>
      <c r="U6">
        <v>79</v>
      </c>
      <c r="V6">
        <v>52</v>
      </c>
      <c r="W6">
        <v>63</v>
      </c>
      <c r="X6">
        <v>67</v>
      </c>
      <c r="AG6">
        <v>15</v>
      </c>
      <c r="AH6">
        <v>9.5</v>
      </c>
      <c r="AI6">
        <v>7</v>
      </c>
      <c r="AK6" t="str">
        <v>Min</v>
      </c>
      <c r="AL6">
        <v>12.5</v>
      </c>
      <c r="AM6">
        <v>1</v>
      </c>
      <c r="AN6">
        <v>2</v>
      </c>
    </row>
    <row r="7" spans="1:40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15</v>
      </c>
      <c r="L7" s="6">
        <v>14</v>
      </c>
      <c r="M7" s="6">
        <v>16</v>
      </c>
      <c r="O7">
        <v>100</v>
      </c>
      <c r="P7" t="str">
        <v/>
      </c>
      <c r="Q7" t="str">
        <v/>
      </c>
      <c r="S7" t="str" cm="1">
        <f t="array" ref="S7:T12">ANOVA(O:Q,TRUE)</f>
        <v>F-Statistic</v>
      </c>
      <c r="T7">
        <v>4.359348509309541</v>
      </c>
      <c r="U7">
        <v>61</v>
      </c>
      <c r="V7">
        <v>79</v>
      </c>
      <c r="W7">
        <v>83</v>
      </c>
      <c r="X7">
        <v>51</v>
      </c>
      <c r="AG7">
        <v>20</v>
      </c>
      <c r="AH7">
        <v>9.5</v>
      </c>
      <c r="AI7">
        <v>2</v>
      </c>
      <c r="AK7" t="str">
        <v>Max</v>
      </c>
      <c r="AL7">
        <v>27</v>
      </c>
      <c r="AM7">
        <v>22.5</v>
      </c>
      <c r="AN7">
        <v>24.5</v>
      </c>
    </row>
    <row r="8" spans="1:40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  <c r="K8" s="6">
        <v>18</v>
      </c>
      <c r="L8" s="6">
        <v>10</v>
      </c>
      <c r="M8" s="6">
        <v>18</v>
      </c>
      <c r="S8" t="str">
        <v>P-Value</v>
      </c>
      <c r="T8">
        <v>3.5580521200614924E-2</v>
      </c>
      <c r="U8">
        <v>53</v>
      </c>
      <c r="V8">
        <v>73</v>
      </c>
      <c r="W8">
        <v>85</v>
      </c>
      <c r="X8">
        <v>63</v>
      </c>
      <c r="AG8">
        <v>16</v>
      </c>
      <c r="AH8">
        <v>12.5</v>
      </c>
      <c r="AI8">
        <v>22.5</v>
      </c>
      <c r="AK8" t="str">
        <v>Q1</v>
      </c>
      <c r="AL8">
        <v>16.5</v>
      </c>
      <c r="AM8">
        <v>8</v>
      </c>
      <c r="AN8">
        <v>3.75</v>
      </c>
    </row>
    <row r="9" spans="1:40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  <c r="K9" s="6">
        <v>9</v>
      </c>
      <c r="L9" s="6">
        <v>18</v>
      </c>
      <c r="M9" s="6">
        <v>11</v>
      </c>
      <c r="S9" t="str">
        <v>Sum of Squares Between</v>
      </c>
      <c r="T9">
        <v>4417.3166666666675</v>
      </c>
      <c r="U9">
        <v>54</v>
      </c>
      <c r="V9">
        <v>74</v>
      </c>
      <c r="W9">
        <v>58</v>
      </c>
      <c r="X9">
        <v>93</v>
      </c>
      <c r="AG9">
        <v>21</v>
      </c>
      <c r="AH9">
        <v>1</v>
      </c>
      <c r="AI9">
        <v>5.5</v>
      </c>
      <c r="AK9" t="str">
        <v>Q3</v>
      </c>
      <c r="AL9">
        <v>23.625</v>
      </c>
      <c r="AM9">
        <v>12.5</v>
      </c>
      <c r="AN9">
        <v>16.125</v>
      </c>
    </row>
    <row r="10" spans="1:40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  <c r="K10" s="6">
        <v>12</v>
      </c>
      <c r="L10" s="6">
        <v>4</v>
      </c>
      <c r="M10" s="6">
        <v>14</v>
      </c>
      <c r="S10" t="str">
        <v>Sum of Squares Within</v>
      </c>
      <c r="T10">
        <v>6586.4333333333343</v>
      </c>
      <c r="AG10">
        <v>24.5</v>
      </c>
      <c r="AH10">
        <v>17</v>
      </c>
    </row>
    <row r="11" spans="1:40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  <c r="K11" s="6">
        <v>16</v>
      </c>
      <c r="L11" s="6">
        <v>11</v>
      </c>
      <c r="M11" s="6">
        <v>11</v>
      </c>
      <c r="S11" t="str">
        <v>Degrees of Freedom Between</v>
      </c>
      <c r="T11">
        <v>2</v>
      </c>
      <c r="AG11">
        <v>18</v>
      </c>
    </row>
    <row r="12" spans="1:40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  <c r="R12" s="6"/>
      <c r="S12" s="6" t="str">
        <v>Degrees of Freedom Within</v>
      </c>
      <c r="T12">
        <v>13</v>
      </c>
    </row>
    <row r="13" spans="1:40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  <c r="R13" s="6"/>
      <c r="S13" s="6"/>
    </row>
    <row r="14" spans="1:40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  <c r="R14" s="6"/>
      <c r="S14" s="6" t="str" cm="1">
        <f t="array" ref="S14:T17">T_TEST_ONE_SAMPLE(P:P,10,"unequal",TRUE)</f>
        <v>t-Statistic</v>
      </c>
      <c r="T14">
        <v>1.4756702339263292</v>
      </c>
      <c r="U14" t="str">
        <f>""</f>
        <v/>
      </c>
    </row>
    <row r="15" spans="1:40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  <c r="S15" t="str">
        <v>Degrees of Freedom</v>
      </c>
      <c r="T15">
        <v>4</v>
      </c>
      <c r="AK15" t="str" cm="1">
        <f t="array" ref="AK15:AL17">KRUSKALL_WALLIS(AG:AI,TRUE)</f>
        <v>H statistic</v>
      </c>
      <c r="AL15">
        <v>8.7869157848324555</v>
      </c>
    </row>
    <row r="16" spans="1:40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  <c r="S16" t="str">
        <v>P-value</v>
      </c>
      <c r="T16">
        <v>0.21406728645956527</v>
      </c>
      <c r="AK16" t="str">
        <v>Degrees of freedom</v>
      </c>
      <c r="AL16">
        <v>2</v>
      </c>
    </row>
    <row r="17" spans="1:38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  <c r="S17" t="str">
        <v>Sample Mean</v>
      </c>
      <c r="T17">
        <v>31.8</v>
      </c>
      <c r="AK17" t="str">
        <v>P-value</v>
      </c>
      <c r="AL17">
        <v>1.2357922885419969E-2</v>
      </c>
    </row>
    <row r="18" spans="1:38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38" x14ac:dyDescent="0.25">
      <c r="E19" s="3">
        <v>5</v>
      </c>
      <c r="F19" s="3">
        <v>12</v>
      </c>
      <c r="H19" s="1">
        <v>61</v>
      </c>
      <c r="I19" s="1">
        <v>78</v>
      </c>
      <c r="Q19" s="6"/>
      <c r="S19" t="str" cm="1">
        <f t="array" ref="S19:T22">T_TEST_INDEPENDENT_SAMPLE(O:O,P:P,"unequal",TRUE)</f>
        <v>t-Statistic</v>
      </c>
      <c r="T19">
        <v>2.0738926167424796</v>
      </c>
    </row>
    <row r="20" spans="1:38" x14ac:dyDescent="0.25">
      <c r="E20" s="3">
        <v>9</v>
      </c>
      <c r="F20" s="3">
        <v>8</v>
      </c>
      <c r="H20" s="1">
        <v>72</v>
      </c>
      <c r="I20" s="1">
        <v>80</v>
      </c>
      <c r="S20" t="str">
        <v>Degrees of Freedom</v>
      </c>
      <c r="T20">
        <v>6.0120258430525864</v>
      </c>
    </row>
    <row r="21" spans="1:38" x14ac:dyDescent="0.25">
      <c r="E21" s="3">
        <v>8</v>
      </c>
      <c r="F21" s="3">
        <v>16</v>
      </c>
      <c r="H21" s="1">
        <v>77</v>
      </c>
      <c r="I21" s="1">
        <v>45</v>
      </c>
      <c r="Q21" s="6"/>
      <c r="S21" t="str">
        <v>P-Value</v>
      </c>
      <c r="T21">
        <v>8.3436828210508546E-2</v>
      </c>
    </row>
    <row r="22" spans="1:38" x14ac:dyDescent="0.25">
      <c r="E22" s="3">
        <v>9</v>
      </c>
      <c r="F22" s="3">
        <v>12</v>
      </c>
      <c r="H22" s="1">
        <v>90</v>
      </c>
      <c r="I22" s="1">
        <v>77</v>
      </c>
      <c r="S22" t="str">
        <v>Mean Difference</v>
      </c>
      <c r="T22">
        <v>34.366666666666674</v>
      </c>
    </row>
    <row r="23" spans="1:38" x14ac:dyDescent="0.25">
      <c r="E23" s="3">
        <v>11</v>
      </c>
      <c r="F23" s="3">
        <v>7</v>
      </c>
      <c r="H23" s="1">
        <v>88</v>
      </c>
      <c r="I23" s="1">
        <v>87</v>
      </c>
    </row>
    <row r="24" spans="1:38" x14ac:dyDescent="0.25">
      <c r="E24" s="3">
        <v>11</v>
      </c>
      <c r="F24" s="3">
        <v>17</v>
      </c>
      <c r="H24" s="1">
        <v>74</v>
      </c>
      <c r="I24" s="1">
        <v>77</v>
      </c>
    </row>
    <row r="25" spans="1:38" x14ac:dyDescent="0.25">
      <c r="E25" s="3">
        <v>12</v>
      </c>
      <c r="F25" s="3">
        <v>13</v>
      </c>
      <c r="H25" s="1">
        <v>88</v>
      </c>
      <c r="I25" s="1">
        <v>65</v>
      </c>
      <c r="S25" t="str" cm="1">
        <f t="array" ref="S25:T28">ONEWAY(O:Q,TRUE)</f>
        <v>F-Statistic</v>
      </c>
      <c r="T25">
        <v>2.6350491563380469</v>
      </c>
    </row>
    <row r="26" spans="1:38" x14ac:dyDescent="0.25">
      <c r="E26" s="3">
        <v>17</v>
      </c>
      <c r="F26" s="3">
        <v>20</v>
      </c>
      <c r="H26" s="1">
        <v>90</v>
      </c>
      <c r="I26" s="1">
        <v>90</v>
      </c>
      <c r="S26" t="str">
        <v>P-Value</v>
      </c>
      <c r="T26">
        <v>0.13208800670191265</v>
      </c>
    </row>
    <row r="27" spans="1:38" x14ac:dyDescent="0.25">
      <c r="E27" s="3">
        <v>12</v>
      </c>
      <c r="F27" s="3">
        <v>9</v>
      </c>
      <c r="H27" s="1">
        <v>87</v>
      </c>
      <c r="I27" s="1">
        <v>55</v>
      </c>
      <c r="S27" t="str">
        <v>Degrees of Freedom Between</v>
      </c>
      <c r="T27">
        <v>2</v>
      </c>
    </row>
    <row r="28" spans="1:38" x14ac:dyDescent="0.25">
      <c r="E28" s="3">
        <v>5</v>
      </c>
      <c r="F28" s="3">
        <v>13</v>
      </c>
      <c r="H28" s="1">
        <v>95</v>
      </c>
      <c r="I28" s="1">
        <v>69</v>
      </c>
      <c r="S28" t="str">
        <v>Degrees of Freedom Within</v>
      </c>
      <c r="T28">
        <v>7.6828770624167753</v>
      </c>
    </row>
    <row r="29" spans="1:38" x14ac:dyDescent="0.25">
      <c r="E29" s="3">
        <v>5</v>
      </c>
      <c r="F29" s="3">
        <v>11</v>
      </c>
      <c r="H29" s="1">
        <v>66</v>
      </c>
      <c r="I29" s="1">
        <v>91</v>
      </c>
    </row>
    <row r="30" spans="1:38" x14ac:dyDescent="0.25">
      <c r="E30" s="3">
        <v>15</v>
      </c>
      <c r="F30" s="3">
        <v>11</v>
      </c>
      <c r="H30" s="1">
        <v>72</v>
      </c>
      <c r="I30" s="1">
        <v>30</v>
      </c>
    </row>
    <row r="31" spans="1:38" x14ac:dyDescent="0.25">
      <c r="E31" s="4">
        <v>0</v>
      </c>
      <c r="F31" s="4">
        <v>12</v>
      </c>
      <c r="H31" s="1">
        <v>84</v>
      </c>
      <c r="I31" s="1">
        <v>71</v>
      </c>
    </row>
    <row r="32" spans="1:38" x14ac:dyDescent="0.25">
      <c r="H32" s="1">
        <v>79</v>
      </c>
      <c r="I32" s="1">
        <v>66</v>
      </c>
    </row>
    <row r="33" spans="8:9" x14ac:dyDescent="0.25">
      <c r="H33" s="1">
        <v>72</v>
      </c>
      <c r="I33" s="1">
        <v>79</v>
      </c>
    </row>
    <row r="34" spans="8:9" x14ac:dyDescent="0.25">
      <c r="H34" s="1">
        <v>92</v>
      </c>
      <c r="I34" s="1">
        <v>67</v>
      </c>
    </row>
    <row r="35" spans="8:9" x14ac:dyDescent="0.25">
      <c r="H35" s="1">
        <v>77</v>
      </c>
      <c r="I35" s="1">
        <v>65</v>
      </c>
    </row>
    <row r="36" spans="8:9" x14ac:dyDescent="0.25">
      <c r="H36" s="1">
        <v>45</v>
      </c>
      <c r="I36" s="1">
        <v>76</v>
      </c>
    </row>
    <row r="37" spans="8:9" x14ac:dyDescent="0.25">
      <c r="H37" s="1">
        <v>75</v>
      </c>
      <c r="I37" s="1">
        <v>70</v>
      </c>
    </row>
    <row r="38" spans="8:9" x14ac:dyDescent="0.25">
      <c r="H38" s="1">
        <v>70</v>
      </c>
      <c r="I38" s="1">
        <v>64</v>
      </c>
    </row>
    <row r="39" spans="8:9" x14ac:dyDescent="0.25">
      <c r="H39" s="1">
        <v>91</v>
      </c>
      <c r="I39" s="1">
        <v>64</v>
      </c>
    </row>
    <row r="40" spans="8:9" x14ac:dyDescent="0.25">
      <c r="H40" s="1">
        <v>73</v>
      </c>
    </row>
    <row r="41" spans="8:9" x14ac:dyDescent="0.25">
      <c r="H41" s="1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02EFF-2F46-4F54-A8F4-8C6021DB8A96}">
  <sheetPr codeName="Sheet2"/>
  <dimension ref="A1:N33"/>
  <sheetViews>
    <sheetView workbookViewId="0">
      <selection activeCell="J1" sqref="J1"/>
    </sheetView>
  </sheetViews>
  <sheetFormatPr defaultRowHeight="15" x14ac:dyDescent="0.25"/>
  <sheetData>
    <row r="1" spans="1:14" x14ac:dyDescent="0.25">
      <c r="A1" t="s">
        <v>22</v>
      </c>
      <c r="B1" t="s">
        <v>23</v>
      </c>
      <c r="E1" t="str" cm="1">
        <f t="array" ref="E1:G13">SPLIT_VALUES(B:B,A:A,TRUE)</f>
        <v>A</v>
      </c>
      <c r="F1" t="str">
        <v>B</v>
      </c>
      <c r="G1" t="str">
        <v>C</v>
      </c>
      <c r="J1" t="str" cm="1">
        <f t="array" ref="J1:K4">ONEWAY(E:G,TRUE)</f>
        <v>F-Statistic</v>
      </c>
      <c r="K1">
        <v>1.7461877896783164</v>
      </c>
      <c r="M1" t="str" cm="1">
        <f t="array" ref="M1:N6">ANOVA(E:G,TRUE)</f>
        <v>F-Statistic</v>
      </c>
      <c r="N1">
        <v>1.1253904201219458</v>
      </c>
    </row>
    <row r="2" spans="1:14" x14ac:dyDescent="0.25">
      <c r="A2" t="s">
        <v>24</v>
      </c>
      <c r="B2">
        <v>7.1543645738905743</v>
      </c>
      <c r="E2">
        <v>7.1543645738905743</v>
      </c>
      <c r="F2">
        <v>15.925996542888955</v>
      </c>
      <c r="G2">
        <v>8.8956333988498049</v>
      </c>
      <c r="J2" t="str">
        <v>P-Value</v>
      </c>
      <c r="K2">
        <v>0.21596301127531281</v>
      </c>
      <c r="M2" t="str">
        <v>P-Value</v>
      </c>
      <c r="N2">
        <v>0.33828933627806057</v>
      </c>
    </row>
    <row r="3" spans="1:14" x14ac:dyDescent="0.25">
      <c r="A3" t="s">
        <v>24</v>
      </c>
      <c r="B3">
        <v>12.731646025333498</v>
      </c>
      <c r="E3">
        <v>12.731646025333498</v>
      </c>
      <c r="F3">
        <v>14.078562464090355</v>
      </c>
      <c r="G3">
        <v>10.121427745576341</v>
      </c>
      <c r="J3" t="str">
        <v>Degrees of Freedom Between</v>
      </c>
      <c r="K3">
        <v>2</v>
      </c>
      <c r="M3" t="str">
        <v>Sum of Squares Between</v>
      </c>
      <c r="N3">
        <v>22.539599980217854</v>
      </c>
    </row>
    <row r="4" spans="1:14" x14ac:dyDescent="0.25">
      <c r="A4" t="s">
        <v>24</v>
      </c>
      <c r="B4">
        <v>17.961872048782663</v>
      </c>
      <c r="E4">
        <v>17.961872048782663</v>
      </c>
      <c r="F4">
        <v>15.211637707273216</v>
      </c>
      <c r="G4">
        <v>8.4378133331277887</v>
      </c>
      <c r="J4" t="str">
        <v>Degrees of Freedom Within</v>
      </c>
      <c r="K4">
        <v>12.807266666205004</v>
      </c>
      <c r="M4" t="str">
        <v>Sum of Squares Within</v>
      </c>
      <c r="N4">
        <v>290.40961596042791</v>
      </c>
    </row>
    <row r="5" spans="1:14" x14ac:dyDescent="0.25">
      <c r="A5" t="s">
        <v>24</v>
      </c>
      <c r="B5">
        <v>7.698258251263427</v>
      </c>
      <c r="E5">
        <v>7.698258251263427</v>
      </c>
      <c r="F5">
        <v>6.1987818556632437</v>
      </c>
      <c r="G5">
        <v>9.8605539924905869</v>
      </c>
      <c r="M5" t="str">
        <v>Degrees of Freedom Between</v>
      </c>
      <c r="N5">
        <v>2</v>
      </c>
    </row>
    <row r="6" spans="1:14" x14ac:dyDescent="0.25">
      <c r="A6" t="s">
        <v>24</v>
      </c>
      <c r="B6">
        <v>11.505309714773656</v>
      </c>
      <c r="E6">
        <v>11.505309714773656</v>
      </c>
      <c r="F6">
        <v>14.611884595800984</v>
      </c>
      <c r="G6">
        <v>9.7770249620472658</v>
      </c>
      <c r="M6" t="str">
        <v>Degrees of Freedom Within</v>
      </c>
      <c r="N6">
        <v>29</v>
      </c>
    </row>
    <row r="7" spans="1:14" x14ac:dyDescent="0.25">
      <c r="A7" t="s">
        <v>24</v>
      </c>
      <c r="B7">
        <v>9.5217525357657262</v>
      </c>
      <c r="E7">
        <v>9.5217525357657262</v>
      </c>
      <c r="F7">
        <v>7.8386711982162414</v>
      </c>
      <c r="G7">
        <v>8.2552890665608913</v>
      </c>
    </row>
    <row r="8" spans="1:14" x14ac:dyDescent="0.25">
      <c r="A8" t="s">
        <v>24</v>
      </c>
      <c r="B8">
        <v>17.192221540142715</v>
      </c>
      <c r="E8">
        <v>17.192221540142715</v>
      </c>
      <c r="F8">
        <v>7.9913929347357486</v>
      </c>
      <c r="G8">
        <v>8.168469178824072</v>
      </c>
    </row>
    <row r="9" spans="1:14" x14ac:dyDescent="0.25">
      <c r="A9" t="s">
        <v>24</v>
      </c>
      <c r="B9">
        <v>7.5460327528051483</v>
      </c>
      <c r="E9">
        <v>7.5460327528051483</v>
      </c>
      <c r="F9">
        <v>8.9028158636804857</v>
      </c>
      <c r="G9">
        <v>7.9373840630616854</v>
      </c>
    </row>
    <row r="10" spans="1:14" x14ac:dyDescent="0.25">
      <c r="A10" t="s">
        <v>24</v>
      </c>
      <c r="B10">
        <v>5.1904235254802185</v>
      </c>
      <c r="E10">
        <v>5.1904235254802185</v>
      </c>
      <c r="F10">
        <v>8.5357152149131768</v>
      </c>
      <c r="G10">
        <v>9.1871948425557974</v>
      </c>
    </row>
    <row r="11" spans="1:14" x14ac:dyDescent="0.25">
      <c r="A11" t="s">
        <v>24</v>
      </c>
      <c r="B11">
        <v>11.911515616503598</v>
      </c>
      <c r="E11">
        <v>11.911515616503598</v>
      </c>
      <c r="F11">
        <v>9.549903693511105</v>
      </c>
      <c r="G11">
        <v>8.9158783792636083</v>
      </c>
    </row>
    <row r="12" spans="1:14" x14ac:dyDescent="0.25">
      <c r="A12" t="s">
        <v>25</v>
      </c>
      <c r="B12">
        <v>15.925996542888955</v>
      </c>
      <c r="E12" t="str">
        <v/>
      </c>
      <c r="F12" t="str">
        <v/>
      </c>
      <c r="G12">
        <v>10</v>
      </c>
    </row>
    <row r="13" spans="1:14" x14ac:dyDescent="0.25">
      <c r="A13" t="s">
        <v>25</v>
      </c>
      <c r="B13">
        <v>14.078562464090355</v>
      </c>
      <c r="E13" t="str">
        <v/>
      </c>
      <c r="F13" t="str">
        <v/>
      </c>
      <c r="G13">
        <v>10</v>
      </c>
    </row>
    <row r="14" spans="1:14" x14ac:dyDescent="0.25">
      <c r="A14" t="s">
        <v>25</v>
      </c>
      <c r="B14">
        <v>15.211637707273216</v>
      </c>
    </row>
    <row r="15" spans="1:14" x14ac:dyDescent="0.25">
      <c r="A15" t="s">
        <v>25</v>
      </c>
      <c r="B15">
        <v>6.1987818556632437</v>
      </c>
    </row>
    <row r="16" spans="1:14" x14ac:dyDescent="0.25">
      <c r="A16" t="s">
        <v>25</v>
      </c>
      <c r="B16">
        <v>14.611884595800984</v>
      </c>
    </row>
    <row r="17" spans="1:2" x14ac:dyDescent="0.25">
      <c r="A17" t="s">
        <v>25</v>
      </c>
      <c r="B17">
        <v>7.8386711982162414</v>
      </c>
    </row>
    <row r="18" spans="1:2" x14ac:dyDescent="0.25">
      <c r="A18" t="s">
        <v>25</v>
      </c>
      <c r="B18">
        <v>7.9913929347357486</v>
      </c>
    </row>
    <row r="19" spans="1:2" x14ac:dyDescent="0.25">
      <c r="A19" t="s">
        <v>25</v>
      </c>
      <c r="B19">
        <v>8.9028158636804857</v>
      </c>
    </row>
    <row r="20" spans="1:2" x14ac:dyDescent="0.25">
      <c r="A20" t="s">
        <v>25</v>
      </c>
      <c r="B20">
        <v>8.5357152149131768</v>
      </c>
    </row>
    <row r="21" spans="1:2" x14ac:dyDescent="0.25">
      <c r="A21" t="s">
        <v>25</v>
      </c>
      <c r="B21">
        <v>9.549903693511105</v>
      </c>
    </row>
    <row r="22" spans="1:2" x14ac:dyDescent="0.25">
      <c r="A22" t="s">
        <v>26</v>
      </c>
      <c r="B22">
        <v>8.8956333988498049</v>
      </c>
    </row>
    <row r="23" spans="1:2" x14ac:dyDescent="0.25">
      <c r="A23" t="s">
        <v>26</v>
      </c>
      <c r="B23">
        <v>10.121427745576341</v>
      </c>
    </row>
    <row r="24" spans="1:2" x14ac:dyDescent="0.25">
      <c r="A24" t="s">
        <v>26</v>
      </c>
      <c r="B24">
        <v>8.4378133331277887</v>
      </c>
    </row>
    <row r="25" spans="1:2" x14ac:dyDescent="0.25">
      <c r="A25" t="s">
        <v>26</v>
      </c>
      <c r="B25">
        <v>9.8605539924905869</v>
      </c>
    </row>
    <row r="26" spans="1:2" x14ac:dyDescent="0.25">
      <c r="A26" t="s">
        <v>26</v>
      </c>
      <c r="B26">
        <v>9.7770249620472658</v>
      </c>
    </row>
    <row r="27" spans="1:2" x14ac:dyDescent="0.25">
      <c r="A27" t="s">
        <v>26</v>
      </c>
      <c r="B27">
        <v>8.2552890665608913</v>
      </c>
    </row>
    <row r="28" spans="1:2" x14ac:dyDescent="0.25">
      <c r="A28" t="s">
        <v>26</v>
      </c>
      <c r="B28">
        <v>8.168469178824072</v>
      </c>
    </row>
    <row r="29" spans="1:2" x14ac:dyDescent="0.25">
      <c r="A29" t="s">
        <v>26</v>
      </c>
      <c r="B29">
        <v>7.9373840630616854</v>
      </c>
    </row>
    <row r="30" spans="1:2" x14ac:dyDescent="0.25">
      <c r="A30" t="s">
        <v>26</v>
      </c>
      <c r="B30">
        <v>9.1871948425557974</v>
      </c>
    </row>
    <row r="31" spans="1:2" x14ac:dyDescent="0.25">
      <c r="A31" t="s">
        <v>26</v>
      </c>
      <c r="B31">
        <v>8.9158783792636083</v>
      </c>
    </row>
    <row r="32" spans="1:2" x14ac:dyDescent="0.25">
      <c r="A32" t="s">
        <v>26</v>
      </c>
      <c r="B32">
        <v>10</v>
      </c>
    </row>
    <row r="33" spans="1:2" x14ac:dyDescent="0.25">
      <c r="A33" t="s">
        <v>26</v>
      </c>
      <c r="B33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2024-10-18T01:34:43Z</dcterms:modified>
</cp:coreProperties>
</file>